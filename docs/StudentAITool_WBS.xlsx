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BS" sheetId="2" state="visible" r:id="rId4"/>
    <sheet name="Critical Path" sheetId="3" state="visible" r:id="rId5"/>
    <sheet name="Final Checklist" sheetId="4" state="visible" r:id="rId6"/>
    <sheet name="Open 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<sst xmlns="http://schemas.openxmlformats.org/spreadsheetml/2006/main" count="479" uniqueCount="247">
  <si>
    <t xml:space="preserve">Student AI Tool — Progress Dashboard</t>
  </si>
  <si>
    <t xml:space="preserve">Live counts pull from the WBS sheet — just update the Status column there.</t>
  </si>
  <si>
    <t xml:space="preserve">Total Tasks</t>
  </si>
  <si>
    <t xml:space="preserve">Not Started</t>
  </si>
  <si>
    <t xml:space="preserve">In Progress</t>
  </si>
  <si>
    <t xml:space="preserve">Blocked</t>
  </si>
  <si>
    <t xml:space="preserve">Done</t>
  </si>
  <si>
    <t xml:space="preserve">% Complete</t>
  </si>
  <si>
    <t xml:space="preserve">Per-Person Summary</t>
  </si>
  <si>
    <t xml:space="preserve">Assignee</t>
  </si>
  <si>
    <t xml:space="preserve">Total Effort (d)</t>
  </si>
  <si>
    <t xml:space="preserve">Effort Done (d)</t>
  </si>
  <si>
    <t xml:space="preserve">Shivanshi</t>
  </si>
  <si>
    <t xml:space="preserve">Sreehitha</t>
  </si>
  <si>
    <t xml:space="preserve">Shreya</t>
  </si>
  <si>
    <t xml:space="preserve">Team</t>
  </si>
  <si>
    <t xml:space="preserve">Phase Progress</t>
  </si>
  <si>
    <t xml:space="preserve">Phase</t>
  </si>
  <si>
    <t xml:space="preserve">Phase 0</t>
  </si>
  <si>
    <t xml:space="preserve">Phase 1</t>
  </si>
  <si>
    <t xml:space="preserve">Phase 2</t>
  </si>
  <si>
    <t xml:space="preserve">Phase 3</t>
  </si>
  <si>
    <t xml:space="preserve">Phase 4</t>
  </si>
  <si>
    <t xml:space="preserve">Phase 5</t>
  </si>
  <si>
    <t xml:space="preserve">Phase 6</t>
  </si>
  <si>
    <t xml:space="preserve">Phase 7</t>
  </si>
  <si>
    <t xml:space="preserve">Phase 8</t>
  </si>
  <si>
    <t xml:space="preserve">Task ID</t>
  </si>
  <si>
    <t xml:space="preserve">Task Name</t>
  </si>
  <si>
    <t xml:space="preserve">Start Day</t>
  </si>
  <si>
    <t xml:space="preserve">End Day</t>
  </si>
  <si>
    <t xml:space="preserve">Effort (d)</t>
  </si>
  <si>
    <t xml:space="preserve">Depends On</t>
  </si>
  <si>
    <t xml:space="preserve">Status</t>
  </si>
  <si>
    <t xml:space="preserve">Notes / Acceptance Criteria</t>
  </si>
  <si>
    <t xml:space="preserve">GitHub Issue</t>
  </si>
  <si>
    <t xml:space="preserve">P0-TEAM1</t>
  </si>
  <si>
    <t xml:space="preserve">Finalize product requirements + system architecture diagram</t>
  </si>
  <si>
    <t xml:space="preserve">D1</t>
  </si>
  <si>
    <t xml:space="preserve">—</t>
  </si>
  <si>
    <t xml:space="preserve">Written to docs/architecture.md — covers auth, ingestion, RAG, scheduling and quiz flow end to end.</t>
  </si>
  <si>
    <t xml:space="preserve">P0-SRE1</t>
  </si>
  <si>
    <t xml:space="preserve">Repo scaffold — Next.js + backend service structure, Docker skeleton, .env template</t>
  </si>
  <si>
    <t xml:space="preserve">docker compose up boots an empty frontend + backend; matches the agreed folder structure.</t>
  </si>
  <si>
    <t xml:space="preserve">P0-SRE2</t>
  </si>
  <si>
    <t xml:space="preserve">Database schema — users, documents, syllabus_topics, sessions, chat_messages, quiz_results</t>
  </si>
  <si>
    <t xml:space="preserve">D2</t>
  </si>
  <si>
    <t xml:space="preserve">Migration creates all tables; ERD committed to docs/.</t>
  </si>
  <si>
    <t xml:space="preserve">P0-SHI1</t>
  </si>
  <si>
    <t xml:space="preserve">Auth stack decision + login/signup wireframes</t>
  </si>
  <si>
    <t xml:space="preserve">Wireframes cover email/password plus at least one OAuth option; stack choice documented.</t>
  </si>
  <si>
    <t xml:space="preserve">P0-SHR1</t>
  </si>
  <si>
    <t xml:space="preserve">LLM + vector-DB stack decision, API key / config management</t>
  </si>
  <si>
    <t xml:space="preserve">docs/architecture.md lists the chosen LLM API, embedding model and vector store, with cost/rate-limit notes.</t>
  </si>
  <si>
    <t xml:space="preserve">P0-TEAM2</t>
  </si>
  <si>
    <t xml:space="preserve">Agree shared topic-tree JSON schema (subject → unit → topic → subtopic, mastery field)</t>
  </si>
  <si>
    <t xml:space="preserve">Schema frozen in docs/schema.md; every downstream module builds against this exact shape.</t>
  </si>
  <si>
    <t xml:space="preserve">P1-SHI2</t>
  </si>
  <si>
    <t xml:space="preserve">Login / Signup pages (Next.js)</t>
  </si>
  <si>
    <t xml:space="preserve">D3</t>
  </si>
  <si>
    <t xml:space="preserve">New user can sign up, log in, log out; invalid credentials handled gracefully.</t>
  </si>
  <si>
    <t xml:space="preserve">P1-SHI3</t>
  </si>
  <si>
    <t xml:space="preserve">Session handling + protected route middleware</t>
  </si>
  <si>
    <t xml:space="preserve">D4</t>
  </si>
  <si>
    <t xml:space="preserve">Unauthenticated users are redirected to login; session persists across a page refresh.</t>
  </si>
  <si>
    <t xml:space="preserve">P1-SRE3</t>
  </si>
  <si>
    <t xml:space="preserve">App shell — sidebar, chat window, upload panel (Next.js)</t>
  </si>
  <si>
    <t xml:space="preserve">Responsive shell renders with placeholder chat + upload widgets wired to routes.</t>
  </si>
  <si>
    <t xml:space="preserve">P1-SRE4</t>
  </si>
  <si>
    <t xml:space="preserve">Backend API scaffold + auth token verification</t>
  </si>
  <si>
    <t xml:space="preserve">P0-SRE2, P1-SHI2</t>
  </si>
  <si>
    <t xml:space="preserve">A protected endpoint rejects requests without a valid session token.</t>
  </si>
  <si>
    <t xml:space="preserve">P2-SHR2</t>
  </si>
  <si>
    <t xml:space="preserve">File upload endpoint (PDF/image) + storage</t>
  </si>
  <si>
    <t xml:space="preserve">Upload accepts pdf/png/jpg, stores the file, returns a document_id.</t>
  </si>
  <si>
    <t xml:space="preserve">P2-SHR3</t>
  </si>
  <si>
    <t xml:space="preserve">PDF text extraction pipeline</t>
  </si>
  <si>
    <t xml:space="preserve">D5</t>
  </si>
  <si>
    <t xml:space="preserve">Typed-PDF text is extracted with page numbers preserved.</t>
  </si>
  <si>
    <t xml:space="preserve">P2-SHR4</t>
  </si>
  <si>
    <t xml:space="preserve">OCR for handwritten notes</t>
  </si>
  <si>
    <t xml:space="preserve">D7</t>
  </si>
  <si>
    <t xml:space="preserve">A handwritten sample image returns readable transcribed text; low-quality scans get a confidence flag.</t>
  </si>
  <si>
    <t xml:space="preserve">P2-SHI4</t>
  </si>
  <si>
    <t xml:space="preserve">LLM prompt — subject / syllabus / topic-tree extraction from parsed text</t>
  </si>
  <si>
    <t xml:space="preserve">D6</t>
  </si>
  <si>
    <t xml:space="preserve">P0-TEAM2, P2-SHR3 (stub OK)</t>
  </si>
  <si>
    <t xml:space="preserve">Given sample notes, returns a topic-tree JSON that matches the frozen schema.</t>
  </si>
  <si>
    <t xml:space="preserve">P2-SHI5</t>
  </si>
  <si>
    <t xml:space="preserve">Topic-tree persistence — store per-user syllabus</t>
  </si>
  <si>
    <t xml:space="preserve">P2-SHI4, P0-SRE2</t>
  </si>
  <si>
    <t xml:space="preserve">Topic tree is saved and retrievable by user_id + document_id.</t>
  </si>
  <si>
    <t xml:space="preserve">P2-SRE5</t>
  </si>
  <si>
    <t xml:space="preserve">Upload UI feedback — progress bar, parsed-topic preview / confirm screen</t>
  </si>
  <si>
    <t xml:space="preserve">User sees the extracted topics and can edit or confirm them before proceeding.</t>
  </si>
  <si>
    <t xml:space="preserve">P3-SRE6</t>
  </si>
  <si>
    <t xml:space="preserve">Diagnostic question generator (LLM, capped question count)</t>
  </si>
  <si>
    <t xml:space="preserve">D9</t>
  </si>
  <si>
    <t xml:space="preserve">Generates a capped number of questions (default ~8) spanning the topic tree.</t>
  </si>
  <si>
    <t xml:space="preserve">P3-SRE7</t>
  </si>
  <si>
    <t xml:space="preserve">Adaptive question flow — next question depends on prior answers</t>
  </si>
  <si>
    <t xml:space="preserve">D10</t>
  </si>
  <si>
    <t xml:space="preserve">Question 2+ selection visibly changes based on answer 1 in a manual test.</t>
  </si>
  <si>
    <t xml:space="preserve">P3-SHI6</t>
  </si>
  <si>
    <t xml:space="preserve">Knowledge-level scoring — map answers to per-topic mastery</t>
  </si>
  <si>
    <t xml:space="preserve">Every topic in the tree gets a 0–1 mastery score once the diagnostic completes.</t>
  </si>
  <si>
    <t xml:space="preserve">P3-SHR5</t>
  </si>
  <si>
    <t xml:space="preserve">Diagnostic chat UI — Q&amp;A flow inside the chat window</t>
  </si>
  <si>
    <t xml:space="preserve">P1-SRE3, P3-SRE6</t>
  </si>
  <si>
    <t xml:space="preserve">Questions render as chat messages; answers submit inline with a progress indicator.</t>
  </si>
  <si>
    <t xml:space="preserve">P4-SHI7</t>
  </si>
  <si>
    <t xml:space="preserve">Scheduling algorithm — topic priority from mastery gaps + available time input</t>
  </si>
  <si>
    <t xml:space="preserve">D12</t>
  </si>
  <si>
    <t xml:space="preserve">Given mastery scores, hours/day and an exam date, outputs an ordered daily topic plan.</t>
  </si>
  <si>
    <t xml:space="preserve">P4-SHI8</t>
  </si>
  <si>
    <t xml:space="preserve">Schedule persistence + versioning</t>
  </si>
  <si>
    <t xml:space="preserve">D13</t>
  </si>
  <si>
    <t xml:space="preserve">Regenerating a schedule keeps the previous version retrievable, not silently overwritten.</t>
  </si>
  <si>
    <t xml:space="preserve">P4-SHR6</t>
  </si>
  <si>
    <t xml:space="preserve">Schedule UI — calendar / timeline view, editable</t>
  </si>
  <si>
    <t xml:space="preserve">D11</t>
  </si>
  <si>
    <t xml:space="preserve">Student can view the plan by day/week and manually reorder or reschedule a topic.</t>
  </si>
  <si>
    <t xml:space="preserve">P4-SRE8</t>
  </si>
  <si>
    <t xml:space="preserve">"Explain this schedule" LLM summary</t>
  </si>
  <si>
    <t xml:space="preserve">Chat message explains why weak topics are front-loaded, referencing mastery scores.</t>
  </si>
  <si>
    <t xml:space="preserve">P5-SRE9</t>
  </si>
  <si>
    <t xml:space="preserve">Vector store integration — embed syllabus + chat turns per user</t>
  </si>
  <si>
    <t xml:space="preserve">D14</t>
  </si>
  <si>
    <t xml:space="preserve">P0-SHR1, P2-SHI5</t>
  </si>
  <si>
    <t xml:space="preserve">Embeddings are written per user/document; a similarity query returns relevant chunks.</t>
  </si>
  <si>
    <t xml:space="preserve">P5-SRE10</t>
  </si>
  <si>
    <t xml:space="preserve">RAG retrieval pipeline — relevant syllabus + history per query</t>
  </si>
  <si>
    <t xml:space="preserve">D16</t>
  </si>
  <si>
    <t xml:space="preserve">Given a doubt, retrieval returns the correct syllabus topic plus related past turns in a test set.</t>
  </si>
  <si>
    <t xml:space="preserve">P5-SHR7</t>
  </si>
  <si>
    <t xml:space="preserve">Doubt-answering endpoint — grounded answers citing syllabus topic</t>
  </si>
  <si>
    <t xml:space="preserve">D15</t>
  </si>
  <si>
    <t xml:space="preserve">Answer references the specific syllabus topic/unit it draws from, not generic LLM knowledge.</t>
  </si>
  <si>
    <t xml:space="preserve">P5-SHI9</t>
  </si>
  <si>
    <t xml:space="preserve">Long-term memory summarization — compress old sessions</t>
  </si>
  <si>
    <t xml:space="preserve">After N turns, older history is summarized so context stays under the token budget.</t>
  </si>
  <si>
    <t xml:space="preserve">P5-SHI10</t>
  </si>
  <si>
    <t xml:space="preserve">Chat UI polish — streaming responses, topic references, history view</t>
  </si>
  <si>
    <t xml:space="preserve">D17</t>
  </si>
  <si>
    <t xml:space="preserve">P1-SRE3, P5-SHR7</t>
  </si>
  <si>
    <t xml:space="preserve">Responses stream token-by-token; user can scroll back and reopen a past session.</t>
  </si>
  <si>
    <t xml:space="preserve">P6-SHR8</t>
  </si>
  <si>
    <t xml:space="preserve">Quiz generator — LLM builds quiz from topic-tree + weak areas</t>
  </si>
  <si>
    <t xml:space="preserve">D18</t>
  </si>
  <si>
    <t xml:space="preserve">P3-SHI6, P4-SHI7</t>
  </si>
  <si>
    <t xml:space="preserve">Quiz weights questions toward topics with lower mastery scores.</t>
  </si>
  <si>
    <t xml:space="preserve">P6-SHR9</t>
  </si>
  <si>
    <t xml:space="preserve">Auto-grading logic — objective + short-answer scoring</t>
  </si>
  <si>
    <t xml:space="preserve">D19</t>
  </si>
  <si>
    <t xml:space="preserve">MCQs graded exactly; short answers scored via an LLM rubric with a written score + rationale.</t>
  </si>
  <si>
    <t xml:space="preserve">P6-SRE11</t>
  </si>
  <si>
    <t xml:space="preserve">Quiz-taking UI + results screen</t>
  </si>
  <si>
    <t xml:space="preserve">Student takes the quiz in-app and sees a results screen with per-question feedback.</t>
  </si>
  <si>
    <t xml:space="preserve">P6-SHI11</t>
  </si>
  <si>
    <t xml:space="preserve">Score analysis — per-topic breakdown, weak-area flags</t>
  </si>
  <si>
    <t xml:space="preserve">D20</t>
  </si>
  <si>
    <t xml:space="preserve">Results screen shows a per-topic score bar and flags topics below a mastery threshold.</t>
  </si>
  <si>
    <t xml:space="preserve">P7-TEAM3</t>
  </si>
  <si>
    <t xml:space="preserve">Feedback loop — quiz results update mastery scores + trigger schedule regeneration</t>
  </si>
  <si>
    <t xml:space="preserve">D21</t>
  </si>
  <si>
    <t xml:space="preserve">P6-SHI11, P4-SHI8</t>
  </si>
  <si>
    <t xml:space="preserve">Low-scoring topics reappear earlier in a regenerated schedule with no manual intervention.</t>
  </si>
  <si>
    <t xml:space="preserve">P7-SHI12</t>
  </si>
  <si>
    <t xml:space="preserve">"Repeat cycle" trigger — new diagnostic/quiz suggested after milestones</t>
  </si>
  <si>
    <t xml:space="preserve">D22</t>
  </si>
  <si>
    <t xml:space="preserve">After a schedule milestone or quiz, the assistant proactively suggests the next check-in.</t>
  </si>
  <si>
    <t xml:space="preserve">P8-TEAM4</t>
  </si>
  <si>
    <t xml:space="preserve">Dockerize full stack — frontend, backend, DB, vector store, compose file</t>
  </si>
  <si>
    <t xml:space="preserve">docker compose up brings up the entire stack from a clean checkout.</t>
  </si>
  <si>
    <t xml:space="preserve">P8-SRE12</t>
  </si>
  <si>
    <t xml:space="preserve">CI pipeline — GitHub Actions lint/test on push</t>
  </si>
  <si>
    <t xml:space="preserve">PRs show a pass/fail status; a broken build blocks merge.</t>
  </si>
  <si>
    <t xml:space="preserve">P8-TEAM5</t>
  </si>
  <si>
    <t xml:space="preserve">End-to-end test — upload → syllabus → diagnostic → schedule → chat → quiz → replan</t>
  </si>
  <si>
    <t xml:space="preserve">D23</t>
  </si>
  <si>
    <t xml:space="preserve">P7-TEAM3, P8-TEAM4</t>
  </si>
  <si>
    <t xml:space="preserve">One clean walkthrough of the full loop with a real sample document, no manual DB edits.</t>
  </si>
  <si>
    <t xml:space="preserve">P8-TEAM6</t>
  </si>
  <si>
    <t xml:space="preserve">Bug-fix pass from integration test</t>
  </si>
  <si>
    <t xml:space="preserve">D24</t>
  </si>
  <si>
    <t xml:space="preserve">All blocking issues resolved or explicitly deferred with a note.</t>
  </si>
  <si>
    <t xml:space="preserve">P8-SHR10</t>
  </si>
  <si>
    <t xml:space="preserve">Deployment — frontend host + backend/Docker host</t>
  </si>
  <si>
    <t xml:space="preserve">App reachable at a public URL; env vars/secrets set on the host, not committed.</t>
  </si>
  <si>
    <t xml:space="preserve">P8-TEAM7</t>
  </si>
  <si>
    <t xml:space="preserve">Demo dry-run + final polish</t>
  </si>
  <si>
    <t xml:space="preserve">P8-TEAM6, P8-SHR10</t>
  </si>
  <si>
    <t xml:space="preserve">Full run-through: signup, upload, diagnostic, schedule, chat doubt, quiz, replan — no errors.</t>
  </si>
  <si>
    <t xml:space="preserve">Task</t>
  </si>
  <si>
    <t xml:space="preserve">Blocks</t>
  </si>
  <si>
    <t xml:space="preserve">Note</t>
  </si>
  <si>
    <t xml:space="preserve">P0-TEAM2 (topic-tree schema)</t>
  </si>
  <si>
    <t xml:space="preserve">P2-SHI4, P3-*, P4-*, P5-*, P6-*</t>
  </si>
  <si>
    <t xml:space="preserve">Every downstream module builds on this JSON shape — lock it Day 2, a mid-sprint change forces rework across the whole team.</t>
  </si>
  <si>
    <t xml:space="preserve">P2-SHI4 (topic-tree extraction)</t>
  </si>
  <si>
    <t xml:space="preserve">P2-SHI5, P3-SRE6, P5-SRE9</t>
  </si>
  <si>
    <t xml:space="preserve">Diagnostic questions, scheduling and RAG all need a real topic tree, not a stub, to be meaningfully tested.</t>
  </si>
  <si>
    <t xml:space="preserve">P3-SHI6 (mastery scoring)</t>
  </si>
  <si>
    <t xml:space="preserve">P4-SHI7, P6-SHR8</t>
  </si>
  <si>
    <t xml:space="preserve">Both the study schedule and quiz weighting depend on per-topic mastery scores existing first.</t>
  </si>
  <si>
    <t xml:space="preserve">P5-SRE9 / P5-SRE10 (vector store + retrieval)</t>
  </si>
  <si>
    <t xml:space="preserve">P5-SHR7, chat quality overall</t>
  </si>
  <si>
    <t xml:space="preserve">If retrieval quality is poor, doubt-answering degrades to generic LLM answers with no syllabus grounding — test this early with real notes.</t>
  </si>
  <si>
    <t xml:space="preserve">P7-TEAM3 (feedback loop)</t>
  </si>
  <si>
    <t xml:space="preserve">The full requested loop — schedule → quiz → replan — can't be demoed end-to-end until this closes.</t>
  </si>
  <si>
    <t xml:space="preserve">#</t>
  </si>
  <si>
    <t xml:space="preserve">Check</t>
  </si>
  <si>
    <t xml:space="preserve">Verification</t>
  </si>
  <si>
    <t xml:space="preserve">Done?</t>
  </si>
  <si>
    <t xml:space="preserve">Sign up + log in works</t>
  </si>
  <si>
    <t xml:space="preserve">New account created, session persists, logout clears it.</t>
  </si>
  <si>
    <t xml:space="preserve">No</t>
  </si>
  <si>
    <t xml:space="preserve">Upload a typed PDF</t>
  </si>
  <si>
    <t xml:space="preserve">Correct subject + topic tree extracted and shown for confirmation.</t>
  </si>
  <si>
    <t xml:space="preserve">Upload a handwritten note</t>
  </si>
  <si>
    <t xml:space="preserve">OCR transcribes it and topics are extracted, with a confidence flag on messy scans.</t>
  </si>
  <si>
    <t xml:space="preserve">Diagnostic runs</t>
  </si>
  <si>
    <t xml:space="preserve">A capped, adaptive set of questions is asked, not a fixed static list.</t>
  </si>
  <si>
    <t xml:space="preserve">Mastery scores generated</t>
  </si>
  <si>
    <t xml:space="preserve">Every topic in the tree gets a 0–1 mastery score after the diagnostic.</t>
  </si>
  <si>
    <t xml:space="preserve">Study schedule generated</t>
  </si>
  <si>
    <t xml:space="preserve">Plan is ordered by weak areas first and respects available time input.</t>
  </si>
  <si>
    <t xml:space="preserve">Schedule is editable</t>
  </si>
  <si>
    <t xml:space="preserve">Student can reorder or reschedule a topic and it persists.</t>
  </si>
  <si>
    <t xml:space="preserve">Doubt-answering remembers context</t>
  </si>
  <si>
    <t xml:space="preserve">A follow-up question in a later session correctly references an earlier one.</t>
  </si>
  <si>
    <t xml:space="preserve">Quiz generated + auto-graded</t>
  </si>
  <si>
    <t xml:space="preserve">Quiz targets weak topics; results show a score and rationale per question.</t>
  </si>
  <si>
    <t xml:space="preserve">Feedback loop closes</t>
  </si>
  <si>
    <t xml:space="preserve">A low quiz score visibly moves that topic earlier in a regenerated schedule.</t>
  </si>
  <si>
    <t xml:space="preserve">Risk</t>
  </si>
  <si>
    <t xml:space="preserve">Notes</t>
  </si>
  <si>
    <t xml:space="preserve">Handwriting OCR accuracy varies widely</t>
  </si>
  <si>
    <t xml:space="preserve">Messy handwriting can silently produce a wrong topic tree — surface a confidence flag and let the student correct extracted topics before proceeding.</t>
  </si>
  <si>
    <t xml:space="preserve">LLM cost / rate limits</t>
  </si>
  <si>
    <t xml:space="preserve">Extraction, diagnostics, chat and quiz generation all call the LLM repeatedly — cache where possible and consider a cheaper model for simple classification steps.</t>
  </si>
  <si>
    <t xml:space="preserve">English-only constraint</t>
  </si>
  <si>
    <t xml:space="preserve">Add early language detection so non-English notes are rejected with a clear message instead of producing a garbled topic tree.</t>
  </si>
  <si>
    <t xml:space="preserve">Context/token budget for long-term memory</t>
  </si>
  <si>
    <t xml:space="preserve">Test the summarization strategy (P5-SHI9) explicitly — a bad summary can silently drop syllabus context the student needs later.</t>
  </si>
  <si>
    <t xml:space="preserve">Scope size for a 3-person team</t>
  </si>
  <si>
    <t xml:space="preserve">This is a full loop: auth + RAG + scheduling + quiz + adaptive replanning. If timeline slips, treat OCR and the auto-replan loop as the first things to descope, not core chat/schedule.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</si>
</sst>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7" min="3" style="1" width="14"/>
    <col collapsed="false" customWidth="true" hidden="false" outlineLevel="0" max="9" min="8" style="1" width="16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15" hidden="false" customHeight="true" outlineLevel="0" collapsed="false">
      <c r="B6" s="5" t="n">
        <f aca="false">COUNTA(WBS!A2:A42)</f>
        <v>41</v>
      </c>
      <c r="C6" s="5" t="n">
        <f aca="false">COUNTIF(WBS!I2:I42,"Not Started")</f>
        <v>41</v>
      </c>
      <c r="D6" s="5" t="n">
        <f aca="false">COUNTIF(WBS!I2:I42,"In Progress")</f>
        <v>0</v>
      </c>
      <c r="E6" s="5" t="n">
        <f aca="false">COUNTIF(WBS!I2:I42,"Blocked")</f>
        <v>0</v>
      </c>
      <c r="F6" s="5" t="n">
        <f aca="false">COUNTIF(WBS!I2:I42,"Done")</f>
        <v>0</v>
      </c>
      <c r="G6" s="6" t="n">
        <f aca="false">COUNTIF(WBS!I2:I42,"Done")/COUNTA(WBS!A2:A42)</f>
        <v>0</v>
      </c>
    </row>
    <row r="9" customFormat="false" ht="15" hidden="false" customHeight="true" outlineLevel="0" collapsed="false">
      <c r="B9" s="7" t="s">
        <v>8</v>
      </c>
    </row>
    <row r="10" customFormat="false" ht="15" hidden="false" customHeight="true" outlineLevel="0" collapsed="false">
      <c r="B10" s="4" t="s">
        <v>9</v>
      </c>
      <c r="C10" s="4" t="s">
        <v>2</v>
      </c>
      <c r="D10" s="4" t="s">
        <v>6</v>
      </c>
      <c r="E10" s="4" t="s">
        <v>4</v>
      </c>
      <c r="F10" s="4" t="s">
        <v>3</v>
      </c>
      <c r="G10" s="4" t="s">
        <v>5</v>
      </c>
      <c r="H10" s="4" t="s">
        <v>10</v>
      </c>
      <c r="I10" s="4" t="s">
        <v>11</v>
      </c>
    </row>
    <row r="11" customFormat="false" ht="15" hidden="false" customHeight="true" outlineLevel="0" collapsed="false">
      <c r="B11" s="8" t="s">
        <v>12</v>
      </c>
      <c r="C11" s="5" t="n">
        <f aca="false">COUNTIF(WBS!C2:C42,"*Shivanshi*")</f>
        <v>12</v>
      </c>
      <c r="D11" s="5" t="n">
        <f aca="false">COUNTIFS(WBS!C2:C42,"*Shivanshi*",WBS!I2:I42,"Done")</f>
        <v>0</v>
      </c>
      <c r="E11" s="5" t="n">
        <f aca="false">COUNTIFS(WBS!C2:C42,"*Shivanshi*",WBS!I2:I42,"In Progress")</f>
        <v>0</v>
      </c>
      <c r="F11" s="5" t="n">
        <f aca="false">COUNTIFS(WBS!C2:C42,"*Shivanshi*",WBS!I2:I42,"Not Started")</f>
        <v>12</v>
      </c>
      <c r="G11" s="5" t="n">
        <f aca="false">COUNTIFS(WBS!C2:C42,"*Shivanshi*",WBS!I2:I42,"Blocked")</f>
        <v>0</v>
      </c>
      <c r="H11" s="5" t="n">
        <f aca="false">SUMIF(WBS!C2:C42,"*Shivanshi*",WBS!G2:G42)</f>
        <v>16</v>
      </c>
      <c r="I11" s="5" t="n">
        <f aca="false">SUMIFS(WBS!G2:G42,WBS!C2:C42,"*Shivanshi*",WBS!I2:I42,"Done")</f>
        <v>0</v>
      </c>
    </row>
    <row r="12" customFormat="false" ht="15" hidden="false" customHeight="true" outlineLevel="0" collapsed="false">
      <c r="B12" s="8" t="s">
        <v>13</v>
      </c>
      <c r="C12" s="5" t="n">
        <f aca="false">COUNTIF(WBS!C2:C42,"*Sreehitha*")</f>
        <v>12</v>
      </c>
      <c r="D12" s="5" t="n">
        <f aca="false">COUNTIFS(WBS!C2:C42,"*Sreehitha*",WBS!I2:I42,"Done")</f>
        <v>0</v>
      </c>
      <c r="E12" s="5" t="n">
        <f aca="false">COUNTIFS(WBS!C2:C42,"*Sreehitha*",WBS!I2:I42,"In Progress")</f>
        <v>0</v>
      </c>
      <c r="F12" s="5" t="n">
        <f aca="false">COUNTIFS(WBS!C2:C42,"*Sreehitha*",WBS!I2:I42,"Not Started")</f>
        <v>12</v>
      </c>
      <c r="G12" s="5" t="n">
        <f aca="false">COUNTIFS(WBS!C2:C42,"*Sreehitha*",WBS!I2:I42,"Blocked")</f>
        <v>0</v>
      </c>
      <c r="H12" s="5" t="n">
        <f aca="false">SUMIF(WBS!C2:C42,"*Sreehitha*",WBS!G2:G42)</f>
        <v>17</v>
      </c>
      <c r="I12" s="5" t="n">
        <f aca="false">SUMIFS(WBS!G2:G42,WBS!C2:C42,"*Sreehitha*",WBS!I2:I42,"Done")</f>
        <v>0</v>
      </c>
    </row>
    <row r="13" customFormat="false" ht="15" hidden="false" customHeight="true" outlineLevel="0" collapsed="false">
      <c r="B13" s="8" t="s">
        <v>14</v>
      </c>
      <c r="C13" s="5" t="n">
        <f aca="false">COUNTIF(WBS!C2:C42,"*Shreya*")</f>
        <v>10</v>
      </c>
      <c r="D13" s="5" t="n">
        <f aca="false">COUNTIFS(WBS!C2:C42,"*Shreya*",WBS!I2:I42,"Done")</f>
        <v>0</v>
      </c>
      <c r="E13" s="5" t="n">
        <f aca="false">COUNTIFS(WBS!C2:C42,"*Shreya*",WBS!I2:I42,"In Progress")</f>
        <v>0</v>
      </c>
      <c r="F13" s="5" t="n">
        <f aca="false">COUNTIFS(WBS!C2:C42,"*Shreya*",WBS!I2:I42,"Not Started")</f>
        <v>10</v>
      </c>
      <c r="G13" s="5" t="n">
        <f aca="false">COUNTIFS(WBS!C2:C42,"*Shreya*",WBS!I2:I42,"Blocked")</f>
        <v>0</v>
      </c>
      <c r="H13" s="5" t="n">
        <f aca="false">SUMIF(WBS!C2:C42,"*Shreya*",WBS!G2:G42)</f>
        <v>14.5</v>
      </c>
      <c r="I13" s="5" t="n">
        <f aca="false">SUMIFS(WBS!G2:G42,WBS!C2:C42,"*Shreya*",WBS!I2:I42,"Done")</f>
        <v>0</v>
      </c>
    </row>
    <row r="14" customFormat="false" ht="15" hidden="false" customHeight="true" outlineLevel="0" collapsed="false">
      <c r="B14" s="8" t="s">
        <v>15</v>
      </c>
      <c r="C14" s="5" t="n">
        <f aca="false">COUNTIF(WBS!C2:C42,"*Team*")</f>
        <v>7</v>
      </c>
      <c r="D14" s="5" t="n">
        <f aca="false">COUNTIFS(WBS!C2:C42,"*Team*",WBS!I2:I42,"Done")</f>
        <v>0</v>
      </c>
      <c r="E14" s="5" t="n">
        <f aca="false">COUNTIFS(WBS!C2:C42,"*Team*",WBS!I2:I42,"In Progress")</f>
        <v>0</v>
      </c>
      <c r="F14" s="5" t="n">
        <f aca="false">COUNTIFS(WBS!C2:C42,"*Team*",WBS!I2:I42,"Not Started")</f>
        <v>7</v>
      </c>
      <c r="G14" s="5" t="n">
        <f aca="false">COUNTIFS(WBS!C2:C42,"*Team*",WBS!I2:I42,"Blocked")</f>
        <v>0</v>
      </c>
      <c r="H14" s="5" t="n">
        <f aca="false">SUMIF(WBS!C2:C42,"*Team*",WBS!G2:G42)</f>
        <v>9.5</v>
      </c>
      <c r="I14" s="5" t="n">
        <f aca="false">SUMIFS(WBS!G2:G42,WBS!C2:C42,"*Team*",WBS!I2:I42,"Done")</f>
        <v>0</v>
      </c>
    </row>
    <row r="17" customFormat="false" ht="15" hidden="false" customHeight="true" outlineLevel="0" collapsed="false">
      <c r="B17" s="7" t="s">
        <v>16</v>
      </c>
    </row>
    <row r="18" customFormat="false" ht="15" hidden="false" customHeight="true" outlineLevel="0" collapsed="false">
      <c r="B18" s="4" t="s">
        <v>17</v>
      </c>
      <c r="C18" s="4" t="s">
        <v>2</v>
      </c>
      <c r="D18" s="4" t="s">
        <v>6</v>
      </c>
      <c r="E18" s="4" t="s">
        <v>7</v>
      </c>
    </row>
    <row r="19" customFormat="false" ht="15" hidden="false" customHeight="true" outlineLevel="0" collapsed="false">
      <c r="B19" s="8" t="s">
        <v>18</v>
      </c>
      <c r="C19" s="5" t="n">
        <f aca="false">COUNTIF(WBS!D2:D42,"Phase 0")</f>
        <v>6</v>
      </c>
      <c r="D19" s="5" t="n">
        <f aca="false">COUNTIFS(WBS!D2:D42,"Phase 0",WBS!I2:I42,"Done")</f>
        <v>0</v>
      </c>
      <c r="E19" s="6" t="n">
        <f aca="false">IF(C19=0,0,D19/C19)</f>
        <v>0</v>
      </c>
    </row>
    <row r="20" customFormat="false" ht="15" hidden="false" customHeight="true" outlineLevel="0" collapsed="false">
      <c r="B20" s="8" t="s">
        <v>19</v>
      </c>
      <c r="C20" s="5" t="n">
        <f aca="false">COUNTIF(WBS!D2:D42,"Phase 1")</f>
        <v>4</v>
      </c>
      <c r="D20" s="5" t="n">
        <f aca="false">COUNTIFS(WBS!D2:D42,"Phase 1",WBS!I2:I42,"Done")</f>
        <v>0</v>
      </c>
      <c r="E20" s="6" t="n">
        <f aca="false">IF(C20=0,0,D20/C20)</f>
        <v>0</v>
      </c>
    </row>
    <row r="21" customFormat="false" ht="15" hidden="false" customHeight="true" outlineLevel="0" collapsed="false">
      <c r="B21" s="8" t="s">
        <v>20</v>
      </c>
      <c r="C21" s="5" t="n">
        <f aca="false">COUNTIF(WBS!D2:D42,"Phase 2")</f>
        <v>6</v>
      </c>
      <c r="D21" s="5" t="n">
        <f aca="false">COUNTIFS(WBS!D2:D42,"Phase 2",WBS!I2:I42,"Done")</f>
        <v>0</v>
      </c>
      <c r="E21" s="6" t="n">
        <f aca="false">IF(C21=0,0,D21/C21)</f>
        <v>0</v>
      </c>
    </row>
    <row r="22" customFormat="false" ht="15" hidden="false" customHeight="true" outlineLevel="0" collapsed="false">
      <c r="B22" s="8" t="s">
        <v>21</v>
      </c>
      <c r="C22" s="5" t="n">
        <f aca="false">COUNTIF(WBS!D2:D42,"Phase 3")</f>
        <v>4</v>
      </c>
      <c r="D22" s="5" t="n">
        <f aca="false">COUNTIFS(WBS!D2:D42,"Phase 3",WBS!I2:I42,"Done")</f>
        <v>0</v>
      </c>
      <c r="E22" s="6" t="n">
        <f aca="false">IF(C22=0,0,D22/C22)</f>
        <v>0</v>
      </c>
    </row>
    <row r="23" customFormat="false" ht="15" hidden="false" customHeight="true" outlineLevel="0" collapsed="false">
      <c r="B23" s="8" t="s">
        <v>22</v>
      </c>
      <c r="C23" s="5" t="n">
        <f aca="false">COUNTIF(WBS!D2:D42,"Phase 4")</f>
        <v>4</v>
      </c>
      <c r="D23" s="5" t="n">
        <f aca="false">COUNTIFS(WBS!D2:D42,"Phase 4",WBS!I2:I42,"Done")</f>
        <v>0</v>
      </c>
      <c r="E23" s="6" t="n">
        <f aca="false">IF(C23=0,0,D23/C23)</f>
        <v>0</v>
      </c>
    </row>
    <row r="24" customFormat="false" ht="15" hidden="false" customHeight="true" outlineLevel="0" collapsed="false">
      <c r="B24" s="8" t="s">
        <v>23</v>
      </c>
      <c r="C24" s="5" t="n">
        <f aca="false">COUNTIF(WBS!D2:D42,"Phase 5")</f>
        <v>5</v>
      </c>
      <c r="D24" s="5" t="n">
        <f aca="false">COUNTIFS(WBS!D2:D42,"Phase 5",WBS!I2:I42,"Done")</f>
        <v>0</v>
      </c>
      <c r="E24" s="6" t="n">
        <f aca="false">IF(C24=0,0,D24/C24)</f>
        <v>0</v>
      </c>
    </row>
    <row r="25" customFormat="false" ht="15" hidden="false" customHeight="true" outlineLevel="0" collapsed="false">
      <c r="B25" s="8" t="s">
        <v>24</v>
      </c>
      <c r="C25" s="5" t="n">
        <f aca="false">COUNTIF(WBS!D2:D42,"Phase 6")</f>
        <v>4</v>
      </c>
      <c r="D25" s="5" t="n">
        <f aca="false">COUNTIFS(WBS!D2:D42,"Phase 6",WBS!I2:I42,"Done")</f>
        <v>0</v>
      </c>
      <c r="E25" s="6" t="n">
        <f aca="false">IF(C25=0,0,D25/C25)</f>
        <v>0</v>
      </c>
    </row>
    <row r="26" customFormat="false" ht="15" hidden="false" customHeight="true" outlineLevel="0" collapsed="false">
      <c r="B26" s="8" t="s">
        <v>25</v>
      </c>
      <c r="C26" s="5" t="n">
        <f aca="false">COUNTIF(WBS!D2:D42,"Phase 7")</f>
        <v>2</v>
      </c>
      <c r="D26" s="5" t="n">
        <f aca="false">COUNTIFS(WBS!D2:D42,"Phase 7",WBS!I2:I42,"Done")</f>
        <v>0</v>
      </c>
      <c r="E26" s="6" t="n">
        <f aca="false">IF(C26=0,0,D26/C26)</f>
        <v>0</v>
      </c>
    </row>
    <row r="27" customFormat="false" ht="15" hidden="false" customHeight="true" outlineLevel="0" collapsed="false">
      <c r="B27" s="8" t="s">
        <v>26</v>
      </c>
      <c r="C27" s="5" t="n">
        <f aca="false">COUNTIF(WBS!D2:D42,"Phase 8")</f>
        <v>6</v>
      </c>
      <c r="D27" s="5" t="n">
        <f aca="false">COUNTIFS(WBS!D2:D42,"Phase 8",WBS!I2:I42,"Done")</f>
        <v>0</v>
      </c>
      <c r="E27" s="6" t="n">
        <f aca="false">IF(C27=0,0,D27/C27)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7" min="4" style="1" width="10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58"/>
    <col collapsed="false" customWidth="true" hidden="false" outlineLevel="0" max="11" min="11" style="1" width="15"/>
  </cols>
  <sheetData>
    <row r="1" customFormat="false" ht="30" hidden="false" customHeight="true" outlineLevel="0" collapsed="false">
      <c r="A1" s="9" t="s">
        <v>27</v>
      </c>
      <c r="B1" s="9" t="s">
        <v>28</v>
      </c>
      <c r="C1" s="9" t="s">
        <v>9</v>
      </c>
      <c r="D1" s="9" t="s">
        <v>17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</row>
    <row r="2" customFormat="false" ht="42" hidden="false" customHeight="true" outlineLevel="0" collapsed="false">
      <c r="A2" s="10" t="s">
        <v>36</v>
      </c>
      <c r="B2" s="10" t="s">
        <v>37</v>
      </c>
      <c r="C2" s="10" t="s">
        <v>15</v>
      </c>
      <c r="D2" s="10" t="s">
        <v>18</v>
      </c>
      <c r="E2" s="10" t="s">
        <v>38</v>
      </c>
      <c r="F2" s="10" t="s">
        <v>38</v>
      </c>
      <c r="G2" s="10" t="n">
        <v>1</v>
      </c>
      <c r="H2" s="10" t="s">
        <v>39</v>
      </c>
      <c r="I2" s="10" t="s">
        <v>3</v>
      </c>
      <c r="J2" s="10" t="s">
        <v>40</v>
      </c>
      <c r="K2" s="10"/>
    </row>
    <row r="3" customFormat="false" ht="42" hidden="false" customHeight="true" outlineLevel="0" collapsed="false">
      <c r="A3" s="10" t="s">
        <v>41</v>
      </c>
      <c r="B3" s="10" t="s">
        <v>42</v>
      </c>
      <c r="C3" s="10" t="s">
        <v>13</v>
      </c>
      <c r="D3" s="10" t="s">
        <v>18</v>
      </c>
      <c r="E3" s="10" t="s">
        <v>38</v>
      </c>
      <c r="F3" s="10" t="s">
        <v>38</v>
      </c>
      <c r="G3" s="10" t="n">
        <v>1</v>
      </c>
      <c r="H3" s="10" t="s">
        <v>39</v>
      </c>
      <c r="I3" s="10" t="s">
        <v>3</v>
      </c>
      <c r="J3" s="10" t="s">
        <v>43</v>
      </c>
      <c r="K3" s="10"/>
    </row>
    <row r="4" customFormat="false" ht="42" hidden="false" customHeight="true" outlineLevel="0" collapsed="false">
      <c r="A4" s="10" t="s">
        <v>44</v>
      </c>
      <c r="B4" s="10" t="s">
        <v>45</v>
      </c>
      <c r="C4" s="10" t="s">
        <v>13</v>
      </c>
      <c r="D4" s="10" t="s">
        <v>18</v>
      </c>
      <c r="E4" s="10" t="s">
        <v>38</v>
      </c>
      <c r="F4" s="10" t="s">
        <v>46</v>
      </c>
      <c r="G4" s="10" t="n">
        <v>1</v>
      </c>
      <c r="H4" s="10" t="s">
        <v>41</v>
      </c>
      <c r="I4" s="10" t="s">
        <v>3</v>
      </c>
      <c r="J4" s="10" t="s">
        <v>47</v>
      </c>
      <c r="K4" s="10"/>
    </row>
    <row r="5" customFormat="false" ht="42" hidden="false" customHeight="true" outlineLevel="0" collapsed="false">
      <c r="A5" s="10" t="s">
        <v>48</v>
      </c>
      <c r="B5" s="10" t="s">
        <v>49</v>
      </c>
      <c r="C5" s="10" t="s">
        <v>14</v>
      </c>
      <c r="D5" s="10" t="s">
        <v>18</v>
      </c>
      <c r="E5" s="10" t="s">
        <v>38</v>
      </c>
      <c r="F5" s="10" t="s">
        <v>38</v>
      </c>
      <c r="G5" s="10" t="n">
        <v>1</v>
      </c>
      <c r="H5" s="10" t="s">
        <v>39</v>
      </c>
      <c r="I5" s="10" t="s">
        <v>3</v>
      </c>
      <c r="J5" s="10" t="s">
        <v>50</v>
      </c>
      <c r="K5" s="10"/>
    </row>
    <row r="6" customFormat="false" ht="42" hidden="false" customHeight="true" outlineLevel="0" collapsed="false">
      <c r="A6" s="10" t="s">
        <v>51</v>
      </c>
      <c r="B6" s="10" t="s">
        <v>52</v>
      </c>
      <c r="C6" s="10" t="s">
        <v>12</v>
      </c>
      <c r="D6" s="10" t="s">
        <v>18</v>
      </c>
      <c r="E6" s="10" t="s">
        <v>38</v>
      </c>
      <c r="F6" s="10" t="s">
        <v>46</v>
      </c>
      <c r="G6" s="10" t="n">
        <v>1</v>
      </c>
      <c r="H6" s="10" t="s">
        <v>39</v>
      </c>
      <c r="I6" s="10" t="s">
        <v>3</v>
      </c>
      <c r="J6" s="10" t="s">
        <v>53</v>
      </c>
      <c r="K6" s="10"/>
    </row>
    <row r="7" customFormat="false" ht="42" hidden="false" customHeight="true" outlineLevel="0" collapsed="false">
      <c r="A7" s="10" t="s">
        <v>54</v>
      </c>
      <c r="B7" s="10" t="s">
        <v>55</v>
      </c>
      <c r="C7" s="10" t="s">
        <v>15</v>
      </c>
      <c r="D7" s="10" t="s">
        <v>18</v>
      </c>
      <c r="E7" s="10" t="s">
        <v>46</v>
      </c>
      <c r="F7" s="10" t="s">
        <v>46</v>
      </c>
      <c r="G7" s="10" t="n">
        <v>0.5</v>
      </c>
      <c r="H7" s="10" t="s">
        <v>44</v>
      </c>
      <c r="I7" s="10" t="s">
        <v>3</v>
      </c>
      <c r="J7" s="10" t="s">
        <v>56</v>
      </c>
      <c r="K7" s="10"/>
    </row>
    <row r="8" customFormat="false" ht="42" hidden="false" customHeight="true" outlineLevel="0" collapsed="false">
      <c r="A8" s="10" t="s">
        <v>57</v>
      </c>
      <c r="B8" s="10" t="s">
        <v>58</v>
      </c>
      <c r="C8" s="10" t="s">
        <v>12</v>
      </c>
      <c r="D8" s="10" t="s">
        <v>19</v>
      </c>
      <c r="E8" s="10" t="s">
        <v>46</v>
      </c>
      <c r="F8" s="10" t="s">
        <v>59</v>
      </c>
      <c r="G8" s="10" t="n">
        <v>1.5</v>
      </c>
      <c r="H8" s="10" t="s">
        <v>48</v>
      </c>
      <c r="I8" s="10" t="s">
        <v>3</v>
      </c>
      <c r="J8" s="10" t="s">
        <v>60</v>
      </c>
      <c r="K8" s="10"/>
    </row>
    <row r="9" customFormat="false" ht="42" hidden="false" customHeight="true" outlineLevel="0" collapsed="false">
      <c r="A9" s="10" t="s">
        <v>61</v>
      </c>
      <c r="B9" s="10" t="s">
        <v>62</v>
      </c>
      <c r="C9" s="10" t="s">
        <v>12</v>
      </c>
      <c r="D9" s="10" t="s">
        <v>19</v>
      </c>
      <c r="E9" s="10" t="s">
        <v>59</v>
      </c>
      <c r="F9" s="10" t="s">
        <v>63</v>
      </c>
      <c r="G9" s="10" t="n">
        <v>1</v>
      </c>
      <c r="H9" s="10" t="s">
        <v>57</v>
      </c>
      <c r="I9" s="10" t="s">
        <v>3</v>
      </c>
      <c r="J9" s="10" t="s">
        <v>64</v>
      </c>
      <c r="K9" s="10"/>
    </row>
    <row r="10" customFormat="false" ht="42" hidden="false" customHeight="true" outlineLevel="0" collapsed="false">
      <c r="A10" s="10" t="s">
        <v>65</v>
      </c>
      <c r="B10" s="10" t="s">
        <v>66</v>
      </c>
      <c r="C10" s="10" t="s">
        <v>13</v>
      </c>
      <c r="D10" s="10" t="s">
        <v>19</v>
      </c>
      <c r="E10" s="10" t="s">
        <v>46</v>
      </c>
      <c r="F10" s="10" t="s">
        <v>59</v>
      </c>
      <c r="G10" s="10" t="n">
        <v>1.5</v>
      </c>
      <c r="H10" s="10" t="s">
        <v>41</v>
      </c>
      <c r="I10" s="10" t="s">
        <v>3</v>
      </c>
      <c r="J10" s="10" t="s">
        <v>67</v>
      </c>
      <c r="K10" s="10"/>
    </row>
    <row r="11" customFormat="false" ht="42" hidden="false" customHeight="true" outlineLevel="0" collapsed="false">
      <c r="A11" s="10" t="s">
        <v>68</v>
      </c>
      <c r="B11" s="10" t="s">
        <v>69</v>
      </c>
      <c r="C11" s="10" t="s">
        <v>13</v>
      </c>
      <c r="D11" s="10" t="s">
        <v>19</v>
      </c>
      <c r="E11" s="10" t="s">
        <v>59</v>
      </c>
      <c r="F11" s="10" t="s">
        <v>63</v>
      </c>
      <c r="G11" s="10" t="n">
        <v>1</v>
      </c>
      <c r="H11" s="10" t="s">
        <v>70</v>
      </c>
      <c r="I11" s="10" t="s">
        <v>3</v>
      </c>
      <c r="J11" s="10" t="s">
        <v>71</v>
      </c>
      <c r="K11" s="10"/>
    </row>
    <row r="12" customFormat="false" ht="42" hidden="false" customHeight="true" outlineLevel="0" collapsed="false">
      <c r="A12" s="10" t="s">
        <v>72</v>
      </c>
      <c r="B12" s="10" t="s">
        <v>73</v>
      </c>
      <c r="C12" s="10" t="s">
        <v>14</v>
      </c>
      <c r="D12" s="10" t="s">
        <v>20</v>
      </c>
      <c r="E12" s="10" t="s">
        <v>59</v>
      </c>
      <c r="F12" s="10" t="s">
        <v>63</v>
      </c>
      <c r="G12" s="10" t="n">
        <v>1</v>
      </c>
      <c r="H12" s="10" t="s">
        <v>68</v>
      </c>
      <c r="I12" s="10" t="s">
        <v>3</v>
      </c>
      <c r="J12" s="10" t="s">
        <v>74</v>
      </c>
      <c r="K12" s="10"/>
    </row>
    <row r="13" customFormat="false" ht="42" hidden="false" customHeight="true" outlineLevel="0" collapsed="false">
      <c r="A13" s="10" t="s">
        <v>75</v>
      </c>
      <c r="B13" s="10" t="s">
        <v>76</v>
      </c>
      <c r="C13" s="10" t="s">
        <v>14</v>
      </c>
      <c r="D13" s="10" t="s">
        <v>20</v>
      </c>
      <c r="E13" s="10" t="s">
        <v>63</v>
      </c>
      <c r="F13" s="10" t="s">
        <v>77</v>
      </c>
      <c r="G13" s="10" t="n">
        <v>1</v>
      </c>
      <c r="H13" s="10" t="s">
        <v>72</v>
      </c>
      <c r="I13" s="10" t="s">
        <v>3</v>
      </c>
      <c r="J13" s="10" t="s">
        <v>78</v>
      </c>
      <c r="K13" s="10"/>
    </row>
    <row r="14" customFormat="false" ht="42" hidden="false" customHeight="true" outlineLevel="0" collapsed="false">
      <c r="A14" s="10" t="s">
        <v>79</v>
      </c>
      <c r="B14" s="10" t="s">
        <v>80</v>
      </c>
      <c r="C14" s="10" t="s">
        <v>14</v>
      </c>
      <c r="D14" s="10" t="s">
        <v>20</v>
      </c>
      <c r="E14" s="10" t="s">
        <v>77</v>
      </c>
      <c r="F14" s="10" t="s">
        <v>81</v>
      </c>
      <c r="G14" s="10" t="n">
        <v>2</v>
      </c>
      <c r="H14" s="10" t="s">
        <v>72</v>
      </c>
      <c r="I14" s="10" t="s">
        <v>3</v>
      </c>
      <c r="J14" s="10" t="s">
        <v>82</v>
      </c>
      <c r="K14" s="10"/>
    </row>
    <row r="15" customFormat="false" ht="42" hidden="false" customHeight="true" outlineLevel="0" collapsed="false">
      <c r="A15" s="10" t="s">
        <v>83</v>
      </c>
      <c r="B15" s="10" t="s">
        <v>84</v>
      </c>
      <c r="C15" s="10" t="s">
        <v>12</v>
      </c>
      <c r="D15" s="10" t="s">
        <v>20</v>
      </c>
      <c r="E15" s="10" t="s">
        <v>63</v>
      </c>
      <c r="F15" s="10" t="s">
        <v>85</v>
      </c>
      <c r="G15" s="10" t="n">
        <v>2</v>
      </c>
      <c r="H15" s="10" t="s">
        <v>86</v>
      </c>
      <c r="I15" s="10" t="s">
        <v>3</v>
      </c>
      <c r="J15" s="10" t="s">
        <v>87</v>
      </c>
      <c r="K15" s="10"/>
    </row>
    <row r="16" customFormat="false" ht="42" hidden="false" customHeight="true" outlineLevel="0" collapsed="false">
      <c r="A16" s="10" t="s">
        <v>88</v>
      </c>
      <c r="B16" s="10" t="s">
        <v>89</v>
      </c>
      <c r="C16" s="10" t="s">
        <v>12</v>
      </c>
      <c r="D16" s="10" t="s">
        <v>20</v>
      </c>
      <c r="E16" s="10" t="s">
        <v>85</v>
      </c>
      <c r="F16" s="10" t="s">
        <v>81</v>
      </c>
      <c r="G16" s="10" t="n">
        <v>1</v>
      </c>
      <c r="H16" s="10" t="s">
        <v>90</v>
      </c>
      <c r="I16" s="10" t="s">
        <v>3</v>
      </c>
      <c r="J16" s="10" t="s">
        <v>91</v>
      </c>
      <c r="K16" s="10"/>
    </row>
    <row r="17" customFormat="false" ht="42" hidden="false" customHeight="true" outlineLevel="0" collapsed="false">
      <c r="A17" s="10" t="s">
        <v>92</v>
      </c>
      <c r="B17" s="10" t="s">
        <v>93</v>
      </c>
      <c r="C17" s="10" t="s">
        <v>13</v>
      </c>
      <c r="D17" s="10" t="s">
        <v>20</v>
      </c>
      <c r="E17" s="10" t="s">
        <v>85</v>
      </c>
      <c r="F17" s="10" t="s">
        <v>81</v>
      </c>
      <c r="G17" s="10" t="n">
        <v>1.5</v>
      </c>
      <c r="H17" s="10" t="s">
        <v>83</v>
      </c>
      <c r="I17" s="10" t="s">
        <v>3</v>
      </c>
      <c r="J17" s="10" t="s">
        <v>94</v>
      </c>
      <c r="K17" s="10"/>
    </row>
    <row r="18" customFormat="false" ht="42" hidden="false" customHeight="true" outlineLevel="0" collapsed="false">
      <c r="A18" s="10" t="s">
        <v>95</v>
      </c>
      <c r="B18" s="10" t="s">
        <v>96</v>
      </c>
      <c r="C18" s="10" t="s">
        <v>13</v>
      </c>
      <c r="D18" s="10" t="s">
        <v>21</v>
      </c>
      <c r="E18" s="10" t="s">
        <v>81</v>
      </c>
      <c r="F18" s="10" t="s">
        <v>97</v>
      </c>
      <c r="G18" s="10" t="n">
        <v>2</v>
      </c>
      <c r="H18" s="10" t="s">
        <v>88</v>
      </c>
      <c r="I18" s="10" t="s">
        <v>3</v>
      </c>
      <c r="J18" s="10" t="s">
        <v>98</v>
      </c>
      <c r="K18" s="10"/>
    </row>
    <row r="19" customFormat="false" ht="42" hidden="false" customHeight="true" outlineLevel="0" collapsed="false">
      <c r="A19" s="10" t="s">
        <v>99</v>
      </c>
      <c r="B19" s="10" t="s">
        <v>100</v>
      </c>
      <c r="C19" s="10" t="s">
        <v>13</v>
      </c>
      <c r="D19" s="10" t="s">
        <v>21</v>
      </c>
      <c r="E19" s="10" t="s">
        <v>97</v>
      </c>
      <c r="F19" s="10" t="s">
        <v>101</v>
      </c>
      <c r="G19" s="10" t="n">
        <v>1.5</v>
      </c>
      <c r="H19" s="10" t="s">
        <v>95</v>
      </c>
      <c r="I19" s="10" t="s">
        <v>3</v>
      </c>
      <c r="J19" s="10" t="s">
        <v>102</v>
      </c>
      <c r="K19" s="10"/>
    </row>
    <row r="20" customFormat="false" ht="42" hidden="false" customHeight="true" outlineLevel="0" collapsed="false">
      <c r="A20" s="10" t="s">
        <v>103</v>
      </c>
      <c r="B20" s="10" t="s">
        <v>104</v>
      </c>
      <c r="C20" s="10" t="s">
        <v>12</v>
      </c>
      <c r="D20" s="10" t="s">
        <v>21</v>
      </c>
      <c r="E20" s="10" t="s">
        <v>97</v>
      </c>
      <c r="F20" s="10" t="s">
        <v>101</v>
      </c>
      <c r="G20" s="10" t="n">
        <v>1.5</v>
      </c>
      <c r="H20" s="10" t="s">
        <v>95</v>
      </c>
      <c r="I20" s="10" t="s">
        <v>3</v>
      </c>
      <c r="J20" s="10" t="s">
        <v>105</v>
      </c>
      <c r="K20" s="10"/>
    </row>
    <row r="21" customFormat="false" ht="42" hidden="false" customHeight="true" outlineLevel="0" collapsed="false">
      <c r="A21" s="10" t="s">
        <v>106</v>
      </c>
      <c r="B21" s="10" t="s">
        <v>107</v>
      </c>
      <c r="C21" s="10" t="s">
        <v>14</v>
      </c>
      <c r="D21" s="10" t="s">
        <v>21</v>
      </c>
      <c r="E21" s="10" t="s">
        <v>97</v>
      </c>
      <c r="F21" s="10" t="s">
        <v>101</v>
      </c>
      <c r="G21" s="10" t="n">
        <v>1.5</v>
      </c>
      <c r="H21" s="10" t="s">
        <v>108</v>
      </c>
      <c r="I21" s="10" t="s">
        <v>3</v>
      </c>
      <c r="J21" s="10" t="s">
        <v>109</v>
      </c>
      <c r="K21" s="10"/>
    </row>
    <row r="22" customFormat="false" ht="42" hidden="false" customHeight="true" outlineLevel="0" collapsed="false">
      <c r="A22" s="10" t="s">
        <v>110</v>
      </c>
      <c r="B22" s="10" t="s">
        <v>111</v>
      </c>
      <c r="C22" s="10" t="s">
        <v>12</v>
      </c>
      <c r="D22" s="10" t="s">
        <v>22</v>
      </c>
      <c r="E22" s="10" t="s">
        <v>101</v>
      </c>
      <c r="F22" s="10" t="s">
        <v>112</v>
      </c>
      <c r="G22" s="10" t="n">
        <v>2</v>
      </c>
      <c r="H22" s="10" t="s">
        <v>103</v>
      </c>
      <c r="I22" s="10" t="s">
        <v>3</v>
      </c>
      <c r="J22" s="10" t="s">
        <v>113</v>
      </c>
      <c r="K22" s="10"/>
    </row>
    <row r="23" customFormat="false" ht="42" hidden="false" customHeight="true" outlineLevel="0" collapsed="false">
      <c r="A23" s="10" t="s">
        <v>114</v>
      </c>
      <c r="B23" s="10" t="s">
        <v>115</v>
      </c>
      <c r="C23" s="10" t="s">
        <v>12</v>
      </c>
      <c r="D23" s="10" t="s">
        <v>22</v>
      </c>
      <c r="E23" s="10" t="s">
        <v>112</v>
      </c>
      <c r="F23" s="10" t="s">
        <v>116</v>
      </c>
      <c r="G23" s="10" t="n">
        <v>1</v>
      </c>
      <c r="H23" s="10" t="s">
        <v>110</v>
      </c>
      <c r="I23" s="10" t="s">
        <v>3</v>
      </c>
      <c r="J23" s="10" t="s">
        <v>117</v>
      </c>
      <c r="K23" s="10"/>
    </row>
    <row r="24" customFormat="false" ht="42" hidden="false" customHeight="true" outlineLevel="0" collapsed="false">
      <c r="A24" s="10" t="s">
        <v>118</v>
      </c>
      <c r="B24" s="10" t="s">
        <v>119</v>
      </c>
      <c r="C24" s="10" t="s">
        <v>14</v>
      </c>
      <c r="D24" s="10" t="s">
        <v>22</v>
      </c>
      <c r="E24" s="10" t="s">
        <v>120</v>
      </c>
      <c r="F24" s="10" t="s">
        <v>116</v>
      </c>
      <c r="G24" s="10" t="n">
        <v>2</v>
      </c>
      <c r="H24" s="10" t="s">
        <v>110</v>
      </c>
      <c r="I24" s="10" t="s">
        <v>3</v>
      </c>
      <c r="J24" s="10" t="s">
        <v>121</v>
      </c>
      <c r="K24" s="10"/>
    </row>
    <row r="25" customFormat="false" ht="42" hidden="false" customHeight="true" outlineLevel="0" collapsed="false">
      <c r="A25" s="10" t="s">
        <v>122</v>
      </c>
      <c r="B25" s="10" t="s">
        <v>123</v>
      </c>
      <c r="C25" s="10" t="s">
        <v>13</v>
      </c>
      <c r="D25" s="10" t="s">
        <v>22</v>
      </c>
      <c r="E25" s="10" t="s">
        <v>112</v>
      </c>
      <c r="F25" s="10" t="s">
        <v>116</v>
      </c>
      <c r="G25" s="10" t="n">
        <v>1</v>
      </c>
      <c r="H25" s="10" t="s">
        <v>110</v>
      </c>
      <c r="I25" s="10" t="s">
        <v>3</v>
      </c>
      <c r="J25" s="10" t="s">
        <v>124</v>
      </c>
      <c r="K25" s="10"/>
    </row>
    <row r="26" customFormat="false" ht="42" hidden="false" customHeight="true" outlineLevel="0" collapsed="false">
      <c r="A26" s="10" t="s">
        <v>125</v>
      </c>
      <c r="B26" s="10" t="s">
        <v>126</v>
      </c>
      <c r="C26" s="10" t="s">
        <v>13</v>
      </c>
      <c r="D26" s="10" t="s">
        <v>23</v>
      </c>
      <c r="E26" s="10" t="s">
        <v>112</v>
      </c>
      <c r="F26" s="10" t="s">
        <v>127</v>
      </c>
      <c r="G26" s="10" t="n">
        <v>2</v>
      </c>
      <c r="H26" s="10" t="s">
        <v>128</v>
      </c>
      <c r="I26" s="10" t="s">
        <v>3</v>
      </c>
      <c r="J26" s="10" t="s">
        <v>129</v>
      </c>
      <c r="K26" s="10"/>
    </row>
    <row r="27" customFormat="false" ht="42" hidden="false" customHeight="true" outlineLevel="0" collapsed="false">
      <c r="A27" s="10" t="s">
        <v>130</v>
      </c>
      <c r="B27" s="10" t="s">
        <v>131</v>
      </c>
      <c r="C27" s="10" t="s">
        <v>13</v>
      </c>
      <c r="D27" s="10" t="s">
        <v>23</v>
      </c>
      <c r="E27" s="10" t="s">
        <v>127</v>
      </c>
      <c r="F27" s="10" t="s">
        <v>132</v>
      </c>
      <c r="G27" s="10" t="n">
        <v>2</v>
      </c>
      <c r="H27" s="10" t="s">
        <v>125</v>
      </c>
      <c r="I27" s="10" t="s">
        <v>3</v>
      </c>
      <c r="J27" s="10" t="s">
        <v>133</v>
      </c>
      <c r="K27" s="10"/>
    </row>
    <row r="28" customFormat="false" ht="42" hidden="false" customHeight="true" outlineLevel="0" collapsed="false">
      <c r="A28" s="10" t="s">
        <v>134</v>
      </c>
      <c r="B28" s="10" t="s">
        <v>135</v>
      </c>
      <c r="C28" s="10" t="s">
        <v>14</v>
      </c>
      <c r="D28" s="10" t="s">
        <v>23</v>
      </c>
      <c r="E28" s="10" t="s">
        <v>127</v>
      </c>
      <c r="F28" s="10" t="s">
        <v>136</v>
      </c>
      <c r="G28" s="10" t="n">
        <v>1.5</v>
      </c>
      <c r="H28" s="10" t="s">
        <v>130</v>
      </c>
      <c r="I28" s="10" t="s">
        <v>3</v>
      </c>
      <c r="J28" s="10" t="s">
        <v>137</v>
      </c>
      <c r="K28" s="10"/>
    </row>
    <row r="29" customFormat="false" ht="42" hidden="false" customHeight="true" outlineLevel="0" collapsed="false">
      <c r="A29" s="10" t="s">
        <v>138</v>
      </c>
      <c r="B29" s="10" t="s">
        <v>139</v>
      </c>
      <c r="C29" s="10" t="s">
        <v>12</v>
      </c>
      <c r="D29" s="10" t="s">
        <v>23</v>
      </c>
      <c r="E29" s="10" t="s">
        <v>136</v>
      </c>
      <c r="F29" s="10" t="s">
        <v>132</v>
      </c>
      <c r="G29" s="10" t="n">
        <v>1.5</v>
      </c>
      <c r="H29" s="10" t="s">
        <v>125</v>
      </c>
      <c r="I29" s="10" t="s">
        <v>3</v>
      </c>
      <c r="J29" s="10" t="s">
        <v>140</v>
      </c>
      <c r="K29" s="10"/>
    </row>
    <row r="30" customFormat="false" ht="42" hidden="false" customHeight="true" outlineLevel="0" collapsed="false">
      <c r="A30" s="10" t="s">
        <v>141</v>
      </c>
      <c r="B30" s="10" t="s">
        <v>142</v>
      </c>
      <c r="C30" s="10" t="s">
        <v>12</v>
      </c>
      <c r="D30" s="10" t="s">
        <v>23</v>
      </c>
      <c r="E30" s="10" t="s">
        <v>132</v>
      </c>
      <c r="F30" s="10" t="s">
        <v>143</v>
      </c>
      <c r="G30" s="10" t="n">
        <v>1.5</v>
      </c>
      <c r="H30" s="10" t="s">
        <v>144</v>
      </c>
      <c r="I30" s="10" t="s">
        <v>3</v>
      </c>
      <c r="J30" s="10" t="s">
        <v>145</v>
      </c>
      <c r="K30" s="10"/>
    </row>
    <row r="31" customFormat="false" ht="42" hidden="false" customHeight="true" outlineLevel="0" collapsed="false">
      <c r="A31" s="10" t="s">
        <v>146</v>
      </c>
      <c r="B31" s="10" t="s">
        <v>147</v>
      </c>
      <c r="C31" s="10" t="s">
        <v>14</v>
      </c>
      <c r="D31" s="10" t="s">
        <v>24</v>
      </c>
      <c r="E31" s="10" t="s">
        <v>132</v>
      </c>
      <c r="F31" s="10" t="s">
        <v>148</v>
      </c>
      <c r="G31" s="10" t="n">
        <v>2</v>
      </c>
      <c r="H31" s="10" t="s">
        <v>149</v>
      </c>
      <c r="I31" s="10" t="s">
        <v>3</v>
      </c>
      <c r="J31" s="10" t="s">
        <v>150</v>
      </c>
      <c r="K31" s="10"/>
    </row>
    <row r="32" customFormat="false" ht="42" hidden="false" customHeight="true" outlineLevel="0" collapsed="false">
      <c r="A32" s="10" t="s">
        <v>151</v>
      </c>
      <c r="B32" s="10" t="s">
        <v>152</v>
      </c>
      <c r="C32" s="10" t="s">
        <v>14</v>
      </c>
      <c r="D32" s="10" t="s">
        <v>24</v>
      </c>
      <c r="E32" s="10" t="s">
        <v>148</v>
      </c>
      <c r="F32" s="10" t="s">
        <v>153</v>
      </c>
      <c r="G32" s="10" t="n">
        <v>1.5</v>
      </c>
      <c r="H32" s="10" t="s">
        <v>146</v>
      </c>
      <c r="I32" s="10" t="s">
        <v>3</v>
      </c>
      <c r="J32" s="10" t="s">
        <v>154</v>
      </c>
      <c r="K32" s="10"/>
    </row>
    <row r="33" customFormat="false" ht="42" hidden="false" customHeight="true" outlineLevel="0" collapsed="false">
      <c r="A33" s="10" t="s">
        <v>155</v>
      </c>
      <c r="B33" s="10" t="s">
        <v>156</v>
      </c>
      <c r="C33" s="10" t="s">
        <v>13</v>
      </c>
      <c r="D33" s="10" t="s">
        <v>24</v>
      </c>
      <c r="E33" s="10" t="s">
        <v>143</v>
      </c>
      <c r="F33" s="10" t="s">
        <v>153</v>
      </c>
      <c r="G33" s="10" t="n">
        <v>1.5</v>
      </c>
      <c r="H33" s="10" t="s">
        <v>146</v>
      </c>
      <c r="I33" s="10" t="s">
        <v>3</v>
      </c>
      <c r="J33" s="10" t="s">
        <v>157</v>
      </c>
      <c r="K33" s="10"/>
    </row>
    <row r="34" customFormat="false" ht="42" hidden="false" customHeight="true" outlineLevel="0" collapsed="false">
      <c r="A34" s="10" t="s">
        <v>158</v>
      </c>
      <c r="B34" s="10" t="s">
        <v>159</v>
      </c>
      <c r="C34" s="10" t="s">
        <v>12</v>
      </c>
      <c r="D34" s="10" t="s">
        <v>24</v>
      </c>
      <c r="E34" s="10" t="s">
        <v>153</v>
      </c>
      <c r="F34" s="10" t="s">
        <v>160</v>
      </c>
      <c r="G34" s="10" t="n">
        <v>1</v>
      </c>
      <c r="H34" s="10" t="s">
        <v>151</v>
      </c>
      <c r="I34" s="10" t="s">
        <v>3</v>
      </c>
      <c r="J34" s="10" t="s">
        <v>161</v>
      </c>
      <c r="K34" s="10"/>
    </row>
    <row r="35" customFormat="false" ht="42" hidden="false" customHeight="true" outlineLevel="0" collapsed="false">
      <c r="A35" s="10" t="s">
        <v>162</v>
      </c>
      <c r="B35" s="10" t="s">
        <v>163</v>
      </c>
      <c r="C35" s="10" t="s">
        <v>15</v>
      </c>
      <c r="D35" s="10" t="s">
        <v>25</v>
      </c>
      <c r="E35" s="10" t="s">
        <v>153</v>
      </c>
      <c r="F35" s="10" t="s">
        <v>164</v>
      </c>
      <c r="G35" s="10" t="n">
        <v>2</v>
      </c>
      <c r="H35" s="10" t="s">
        <v>165</v>
      </c>
      <c r="I35" s="10" t="s">
        <v>3</v>
      </c>
      <c r="J35" s="10" t="s">
        <v>166</v>
      </c>
      <c r="K35" s="10"/>
    </row>
    <row r="36" customFormat="false" ht="42" hidden="false" customHeight="true" outlineLevel="0" collapsed="false">
      <c r="A36" s="10" t="s">
        <v>167</v>
      </c>
      <c r="B36" s="10" t="s">
        <v>168</v>
      </c>
      <c r="C36" s="10" t="s">
        <v>12</v>
      </c>
      <c r="D36" s="10" t="s">
        <v>25</v>
      </c>
      <c r="E36" s="10" t="s">
        <v>164</v>
      </c>
      <c r="F36" s="10" t="s">
        <v>169</v>
      </c>
      <c r="G36" s="10" t="n">
        <v>1</v>
      </c>
      <c r="H36" s="10" t="s">
        <v>162</v>
      </c>
      <c r="I36" s="10" t="s">
        <v>3</v>
      </c>
      <c r="J36" s="10" t="s">
        <v>170</v>
      </c>
      <c r="K36" s="10"/>
    </row>
    <row r="37" customFormat="false" ht="42" hidden="false" customHeight="true" outlineLevel="0" collapsed="false">
      <c r="A37" s="10" t="s">
        <v>171</v>
      </c>
      <c r="B37" s="10" t="s">
        <v>172</v>
      </c>
      <c r="C37" s="10" t="s">
        <v>15</v>
      </c>
      <c r="D37" s="10" t="s">
        <v>26</v>
      </c>
      <c r="E37" s="10" t="s">
        <v>160</v>
      </c>
      <c r="F37" s="10" t="s">
        <v>169</v>
      </c>
      <c r="G37" s="10" t="n">
        <v>2</v>
      </c>
      <c r="H37" s="10" t="s">
        <v>41</v>
      </c>
      <c r="I37" s="10" t="s">
        <v>3</v>
      </c>
      <c r="J37" s="10" t="s">
        <v>173</v>
      </c>
      <c r="K37" s="10"/>
    </row>
    <row r="38" customFormat="false" ht="42" hidden="false" customHeight="true" outlineLevel="0" collapsed="false">
      <c r="A38" s="10" t="s">
        <v>174</v>
      </c>
      <c r="B38" s="10" t="s">
        <v>175</v>
      </c>
      <c r="C38" s="10" t="s">
        <v>13</v>
      </c>
      <c r="D38" s="10" t="s">
        <v>26</v>
      </c>
      <c r="E38" s="10" t="s">
        <v>160</v>
      </c>
      <c r="F38" s="10" t="s">
        <v>164</v>
      </c>
      <c r="G38" s="10" t="n">
        <v>1</v>
      </c>
      <c r="H38" s="10" t="s">
        <v>41</v>
      </c>
      <c r="I38" s="10" t="s">
        <v>3</v>
      </c>
      <c r="J38" s="10" t="s">
        <v>176</v>
      </c>
      <c r="K38" s="10"/>
    </row>
    <row r="39" customFormat="false" ht="42" hidden="false" customHeight="true" outlineLevel="0" collapsed="false">
      <c r="A39" s="10" t="s">
        <v>177</v>
      </c>
      <c r="B39" s="10" t="s">
        <v>178</v>
      </c>
      <c r="C39" s="10" t="s">
        <v>15</v>
      </c>
      <c r="D39" s="10" t="s">
        <v>26</v>
      </c>
      <c r="E39" s="10" t="s">
        <v>169</v>
      </c>
      <c r="F39" s="10" t="s">
        <v>179</v>
      </c>
      <c r="G39" s="10" t="n">
        <v>1.5</v>
      </c>
      <c r="H39" s="10" t="s">
        <v>180</v>
      </c>
      <c r="I39" s="10" t="s">
        <v>3</v>
      </c>
      <c r="J39" s="10" t="s">
        <v>181</v>
      </c>
      <c r="K39" s="10"/>
    </row>
    <row r="40" customFormat="false" ht="42" hidden="false" customHeight="true" outlineLevel="0" collapsed="false">
      <c r="A40" s="10" t="s">
        <v>182</v>
      </c>
      <c r="B40" s="10" t="s">
        <v>183</v>
      </c>
      <c r="C40" s="10" t="s">
        <v>15</v>
      </c>
      <c r="D40" s="10" t="s">
        <v>26</v>
      </c>
      <c r="E40" s="10" t="s">
        <v>179</v>
      </c>
      <c r="F40" s="10" t="s">
        <v>184</v>
      </c>
      <c r="G40" s="10" t="n">
        <v>1.5</v>
      </c>
      <c r="H40" s="10" t="s">
        <v>177</v>
      </c>
      <c r="I40" s="10" t="s">
        <v>3</v>
      </c>
      <c r="J40" s="10" t="s">
        <v>185</v>
      </c>
      <c r="K40" s="10"/>
    </row>
    <row r="41" customFormat="false" ht="42" hidden="false" customHeight="true" outlineLevel="0" collapsed="false">
      <c r="A41" s="10" t="s">
        <v>186</v>
      </c>
      <c r="B41" s="10" t="s">
        <v>187</v>
      </c>
      <c r="C41" s="10" t="s">
        <v>14</v>
      </c>
      <c r="D41" s="10" t="s">
        <v>26</v>
      </c>
      <c r="E41" s="10" t="s">
        <v>179</v>
      </c>
      <c r="F41" s="10" t="s">
        <v>184</v>
      </c>
      <c r="G41" s="10" t="n">
        <v>1</v>
      </c>
      <c r="H41" s="10" t="s">
        <v>171</v>
      </c>
      <c r="I41" s="10" t="s">
        <v>3</v>
      </c>
      <c r="J41" s="10" t="s">
        <v>188</v>
      </c>
      <c r="K41" s="10"/>
    </row>
    <row r="42" customFormat="false" ht="42" hidden="false" customHeight="true" outlineLevel="0" collapsed="false">
      <c r="A42" s="10" t="s">
        <v>189</v>
      </c>
      <c r="B42" s="10" t="s">
        <v>190</v>
      </c>
      <c r="C42" s="10" t="s">
        <v>15</v>
      </c>
      <c r="D42" s="10" t="s">
        <v>26</v>
      </c>
      <c r="E42" s="10" t="s">
        <v>184</v>
      </c>
      <c r="F42" s="10" t="s">
        <v>184</v>
      </c>
      <c r="G42" s="10" t="n">
        <v>1</v>
      </c>
      <c r="H42" s="10" t="s">
        <v>191</v>
      </c>
      <c r="I42" s="10" t="s">
        <v>3</v>
      </c>
      <c r="J42" s="10" t="s">
        <v>192</v>
      </c>
      <c r="K42" s="10"/>
    </row>
  </sheetData>
  <dataValidations count="1">
    <dataValidation allowBlank="false" errorStyle="stop" operator="between" showDropDown="false" showErrorMessage="false" showInputMessage="false" sqref="I2:I42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30" hidden="false" customHeight="true" outlineLevel="0" collapsed="false">
      <c r="A1" s="9" t="s">
        <v>193</v>
      </c>
      <c r="B1" s="9" t="s">
        <v>194</v>
      </c>
      <c r="C1" s="9" t="s">
        <v>195</v>
      </c>
    </row>
    <row r="2" customFormat="false" ht="27.75" hidden="false" customHeight="true" outlineLevel="0" collapsed="false">
      <c r="A2" s="10" t="s">
        <v>196</v>
      </c>
      <c r="B2" s="10" t="s">
        <v>197</v>
      </c>
      <c r="C2" s="10" t="s">
        <v>198</v>
      </c>
    </row>
    <row r="3" customFormat="false" ht="27.75" hidden="false" customHeight="true" outlineLevel="0" collapsed="false">
      <c r="A3" s="10" t="s">
        <v>199</v>
      </c>
      <c r="B3" s="10" t="s">
        <v>200</v>
      </c>
      <c r="C3" s="10" t="s">
        <v>201</v>
      </c>
    </row>
    <row r="4" customFormat="false" ht="27.75" hidden="false" customHeight="true" outlineLevel="0" collapsed="false">
      <c r="A4" s="10" t="s">
        <v>202</v>
      </c>
      <c r="B4" s="10" t="s">
        <v>203</v>
      </c>
      <c r="C4" s="10" t="s">
        <v>204</v>
      </c>
    </row>
    <row r="5" customFormat="false" ht="27.75" hidden="false" customHeight="true" outlineLevel="0" collapsed="false">
      <c r="A5" s="10" t="s">
        <v>205</v>
      </c>
      <c r="B5" s="10" t="s">
        <v>206</v>
      </c>
      <c r="C5" s="10" t="s">
        <v>207</v>
      </c>
    </row>
    <row r="6" customFormat="false" ht="27.75" hidden="false" customHeight="true" outlineLevel="0" collapsed="false">
      <c r="A6" s="10" t="s">
        <v>208</v>
      </c>
      <c r="B6" s="10" t="s">
        <v>177</v>
      </c>
      <c r="C6" s="10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62"/>
    <col collapsed="false" customWidth="true" hidden="false" outlineLevel="0" max="4" min="4" style="1" width="10"/>
  </cols>
  <sheetData>
    <row r="1" customFormat="false" ht="30" hidden="false" customHeight="true" outlineLevel="0" collapsed="false">
      <c r="A1" s="9" t="s">
        <v>210</v>
      </c>
      <c r="B1" s="9" t="s">
        <v>211</v>
      </c>
      <c r="C1" s="9" t="s">
        <v>212</v>
      </c>
      <c r="D1" s="9" t="s">
        <v>213</v>
      </c>
    </row>
    <row r="2" customFormat="false" ht="15" hidden="false" customHeight="true" outlineLevel="0" collapsed="false">
      <c r="A2" s="10" t="n">
        <v>1</v>
      </c>
      <c r="B2" s="10" t="s">
        <v>214</v>
      </c>
      <c r="C2" s="10" t="s">
        <v>215</v>
      </c>
      <c r="D2" s="10" t="s">
        <v>216</v>
      </c>
    </row>
    <row r="3" customFormat="false" ht="15" hidden="false" customHeight="true" outlineLevel="0" collapsed="false">
      <c r="A3" s="10" t="n">
        <v>2</v>
      </c>
      <c r="B3" s="10" t="s">
        <v>217</v>
      </c>
      <c r="C3" s="10" t="s">
        <v>218</v>
      </c>
      <c r="D3" s="10" t="s">
        <v>216</v>
      </c>
    </row>
    <row r="4" customFormat="false" ht="27.75" hidden="false" customHeight="true" outlineLevel="0" collapsed="false">
      <c r="A4" s="10" t="n">
        <v>3</v>
      </c>
      <c r="B4" s="10" t="s">
        <v>219</v>
      </c>
      <c r="C4" s="10" t="s">
        <v>220</v>
      </c>
      <c r="D4" s="10" t="s">
        <v>216</v>
      </c>
    </row>
    <row r="5" customFormat="false" ht="15" hidden="false" customHeight="true" outlineLevel="0" collapsed="false">
      <c r="A5" s="10" t="n">
        <v>4</v>
      </c>
      <c r="B5" s="10" t="s">
        <v>221</v>
      </c>
      <c r="C5" s="10" t="s">
        <v>222</v>
      </c>
      <c r="D5" s="10" t="s">
        <v>216</v>
      </c>
    </row>
    <row r="6" customFormat="false" ht="15" hidden="false" customHeight="true" outlineLevel="0" collapsed="false">
      <c r="A6" s="10" t="n">
        <v>5</v>
      </c>
      <c r="B6" s="10" t="s">
        <v>223</v>
      </c>
      <c r="C6" s="10" t="s">
        <v>224</v>
      </c>
      <c r="D6" s="10" t="s">
        <v>216</v>
      </c>
    </row>
    <row r="7" customFormat="false" ht="15" hidden="false" customHeight="true" outlineLevel="0" collapsed="false">
      <c r="A7" s="10" t="n">
        <v>6</v>
      </c>
      <c r="B7" s="10" t="s">
        <v>225</v>
      </c>
      <c r="C7" s="10" t="s">
        <v>226</v>
      </c>
      <c r="D7" s="10" t="s">
        <v>216</v>
      </c>
    </row>
    <row r="8" customFormat="false" ht="15" hidden="false" customHeight="true" outlineLevel="0" collapsed="false">
      <c r="A8" s="10" t="n">
        <v>7</v>
      </c>
      <c r="B8" s="10" t="s">
        <v>227</v>
      </c>
      <c r="C8" s="10" t="s">
        <v>228</v>
      </c>
      <c r="D8" s="10" t="s">
        <v>216</v>
      </c>
    </row>
    <row r="9" customFormat="false" ht="27.75" hidden="false" customHeight="true" outlineLevel="0" collapsed="false">
      <c r="A9" s="10" t="n">
        <v>8</v>
      </c>
      <c r="B9" s="10" t="s">
        <v>229</v>
      </c>
      <c r="C9" s="10" t="s">
        <v>230</v>
      </c>
      <c r="D9" s="10" t="s">
        <v>216</v>
      </c>
    </row>
    <row r="10" customFormat="false" ht="27.75" hidden="false" customHeight="true" outlineLevel="0" collapsed="false">
      <c r="A10" s="10" t="n">
        <v>9</v>
      </c>
      <c r="B10" s="10" t="s">
        <v>231</v>
      </c>
      <c r="C10" s="10" t="s">
        <v>232</v>
      </c>
      <c r="D10" s="10" t="s">
        <v>216</v>
      </c>
    </row>
    <row r="11" customFormat="false" ht="27.75" hidden="false" customHeight="true" outlineLevel="0" collapsed="false">
      <c r="A11" s="10" t="n">
        <v>10</v>
      </c>
      <c r="B11" s="10" t="s">
        <v>233</v>
      </c>
      <c r="C11" s="10" t="s">
        <v>234</v>
      </c>
      <c r="D11" s="10" t="s">
        <v>216</v>
      </c>
    </row>
  </sheetData>
  <dataValidations count="1">
    <dataValidation allowBlank="false" errorStyle="stop" operator="between" showDropDown="false" showErrorMessage="false" showInputMessage="false" sqref="D2:D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8"/>
  </cols>
  <sheetData>
    <row r="1" customFormat="false" ht="30" hidden="false" customHeight="true" outlineLevel="0" collapsed="false">
      <c r="A1" s="9" t="s">
        <v>235</v>
      </c>
      <c r="B1" s="9" t="s">
        <v>236</v>
      </c>
    </row>
    <row r="2" customFormat="false" ht="27.75" hidden="false" customHeight="true" outlineLevel="0" collapsed="false">
      <c r="A2" s="10" t="s">
        <v>237</v>
      </c>
      <c r="B2" s="10" t="s">
        <v>238</v>
      </c>
    </row>
    <row r="3" customFormat="false" ht="27.75" hidden="false" customHeight="true" outlineLevel="0" collapsed="false">
      <c r="A3" s="10" t="s">
        <v>239</v>
      </c>
      <c r="B3" s="10" t="s">
        <v>240</v>
      </c>
    </row>
    <row r="4" customFormat="false" ht="27.75" hidden="false" customHeight="true" outlineLevel="0" collapsed="false">
      <c r="A4" s="10" t="s">
        <v>241</v>
      </c>
      <c r="B4" s="10" t="s">
        <v>242</v>
      </c>
    </row>
    <row r="5" customFormat="false" ht="27.75" hidden="false" customHeight="true" outlineLevel="0" collapsed="false">
      <c r="A5" s="10" t="s">
        <v>243</v>
      </c>
      <c r="B5" s="10" t="s">
        <v>244</v>
      </c>
    </row>
    <row r="6" customFormat="false" ht="27.75" hidden="false" customHeight="true" outlineLevel="0" collapsed="false">
      <c r="A6" s="10" t="s">
        <v>245</v>
      </c>
      <c r="B6" s="10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2026-07-18T10:30:05Z</dcterms:created>
  <dc:creator>openpyxl</dc:creator>
  <dc:description/>
  <dc:language>en-US</dc:language>
  <cp:lastModifiedBy/>
  <dcterms:modified xsi:type="dcterms:W3CDTF">2026-07-18T10:35:44Z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